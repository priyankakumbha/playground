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culator" sheetId="1" state="visible" r:id="rId3"/>
    <sheet name="Reference" sheetId="2" state="visible" r:id="rId4"/>
    <sheet name="How it work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PR weight changes when Scope is 'Changed' (Low 0.62-&gt;0.68, High 0.27-&gt;0.50).</t>
        </r>
      </text>
    </comment>
    <comment ref="C23" authorId="0">
      <text>
        <r>
          <rPr>
            <sz val="10"/>
            <rFont val="Arial"/>
            <family val="2"/>
          </rPr>
          <t xml:space="preserve">Modified Scope drives whether the 'Changed' formulas and PR weights apply.</t>
        </r>
      </text>
    </comment>
    <comment ref="I10" authorId="0">
      <text>
        <r>
          <rPr>
            <sz val="10"/>
            <rFont val="Arial"/>
            <family val="2"/>
          </rPr>
          <t xml:space="preserve">This is your environment-adjusted score: the number to prioritise on.</t>
        </r>
      </text>
    </comment>
  </commentList>
</comments>
</file>

<file path=xl/sharedStrings.xml><?xml version="1.0" encoding="utf-8"?>
<sst xmlns="http://schemas.openxmlformats.org/spreadsheetml/2006/main" count="238" uniqueCount="140">
  <si>
    <t xml:space="preserve">CVSS v3.1  Modified / Environmental Score Calculator</t>
  </si>
  <si>
    <t xml:space="preserve">Turns a published base CVE vector into the real threat score for YOUR environment. Edit the yellow cells; everything else recalculates automatically.</t>
  </si>
  <si>
    <t xml:space="preserve">HOW TO USE:  pick a value in each yellow drop-down. Leave 'Not Defined' to keep the published base value.</t>
  </si>
  <si>
    <t xml:space="preserve">①  BASE METRICS   (the published vulnerability vector, e.g. from NVD)</t>
  </si>
  <si>
    <t xml:space="preserve">RESULTS</t>
  </si>
  <si>
    <t xml:space="preserve">Metric</t>
  </si>
  <si>
    <t xml:space="preserve">Your selection</t>
  </si>
  <si>
    <t xml:space="preserve">Weight</t>
  </si>
  <si>
    <t xml:space="preserve">Code</t>
  </si>
  <si>
    <t xml:space="preserve">Base Score (CVSS-B)</t>
  </si>
  <si>
    <t xml:space="preserve">Attack Vector (AV)</t>
  </si>
  <si>
    <t xml:space="preserve">Network</t>
  </si>
  <si>
    <t xml:space="preserve">Base severity</t>
  </si>
  <si>
    <t xml:space="preserve">Attack Complexity (AC)</t>
  </si>
  <si>
    <t xml:space="preserve">Low</t>
  </si>
  <si>
    <t xml:space="preserve">Privileges Required (PR)</t>
  </si>
  <si>
    <t xml:space="preserve">None</t>
  </si>
  <si>
    <t xml:space="preserve">REAL THREAT SCORE  (Environmental, CVSS-BE/BTE)</t>
  </si>
  <si>
    <t xml:space="preserve">User Interaction (UI)</t>
  </si>
  <si>
    <t xml:space="preserve">Threat severity</t>
  </si>
  <si>
    <t xml:space="preserve">Scope (S)</t>
  </si>
  <si>
    <t xml:space="preserve">Unchanged</t>
  </si>
  <si>
    <t xml:space="preserve">Confidentiality (C)</t>
  </si>
  <si>
    <t xml:space="preserve">High</t>
  </si>
  <si>
    <t xml:space="preserve">CVSS vector string  (paste into the official FIRST calculator to verify):</t>
  </si>
  <si>
    <t xml:space="preserve">Integrity (I)</t>
  </si>
  <si>
    <t xml:space="preserve">Availability (A)</t>
  </si>
  <si>
    <t xml:space="preserve">②  MODIFIED BASE METRICS   (override the base for YOUR environment)</t>
  </si>
  <si>
    <t xml:space="preserve">Effective</t>
  </si>
  <si>
    <t xml:space="preserve">Modified Attack Vector (MAV)</t>
  </si>
  <si>
    <t xml:space="preserve">Not Defined</t>
  </si>
  <si>
    <t xml:space="preserve">Modified Attack Complexity (MAC)</t>
  </si>
  <si>
    <t xml:space="preserve">Modified Privileges Required (MPR)</t>
  </si>
  <si>
    <t xml:space="preserve">Modified User Interaction (MUI)</t>
  </si>
  <si>
    <t xml:space="preserve">Modified Scope (MS)</t>
  </si>
  <si>
    <t xml:space="preserve">Modified Confidentiality (MC)</t>
  </si>
  <si>
    <t xml:space="preserve">Modified Integrity (MI)</t>
  </si>
  <si>
    <t xml:space="preserve">Modified Availability (MA)</t>
  </si>
  <si>
    <t xml:space="preserve">③  SECURITY REQUIREMENTS   (how critical C / I / A are to your business)</t>
  </si>
  <si>
    <t xml:space="preserve">Confidentiality Requirement (CR)</t>
  </si>
  <si>
    <t xml:space="preserve">Integrity Requirement (IR)</t>
  </si>
  <si>
    <t xml:space="preserve">Availability Requirement (AR)</t>
  </si>
  <si>
    <t xml:space="preserve">④  THREAT (TEMPORAL) METRICS   (current real-world exploit status — optional)</t>
  </si>
  <si>
    <t xml:space="preserve">Exploit Code Maturity (E)</t>
  </si>
  <si>
    <t xml:space="preserve">Remediation Level (RL)</t>
  </si>
  <si>
    <t xml:space="preserve">Report Confidence (RC)</t>
  </si>
  <si>
    <t xml:space="preserve">CALCULATION STEPS   (live — these are the exact CVSS v3.1 equations)</t>
  </si>
  <si>
    <t xml:space="preserve">Step</t>
  </si>
  <si>
    <t xml:space="preserve">Value</t>
  </si>
  <si>
    <t xml:space="preserve">What it computes</t>
  </si>
  <si>
    <t xml:space="preserve">ISS  (Impact Sub-Score)</t>
  </si>
  <si>
    <t xml:space="preserve">1 − [(1−C)(1−I)(1−A)]</t>
  </si>
  <si>
    <t xml:space="preserve">Exploitability (Base)</t>
  </si>
  <si>
    <t xml:space="preserve">8.22 × AV × AC × PR × UI</t>
  </si>
  <si>
    <t xml:space="preserve">Impact (Base)</t>
  </si>
  <si>
    <t xml:space="preserve">Unchanged: 6.42 × ISS    Changed: 7.52 × (ISS−0.029) − 3.25 × (ISS−0.02)¹⁵</t>
  </si>
  <si>
    <t xml:space="preserve">BASE SCORE  (CVSS-B)</t>
  </si>
  <si>
    <t xml:space="preserve">0 if Impact ≤ 0, else Roundup( min( [1.08 if Scope Changed] × (Impact + Exploitability), 10) )</t>
  </si>
  <si>
    <t xml:space="preserve">MISS  (Modified Impact Sub-Score)</t>
  </si>
  <si>
    <t xml:space="preserve">min( 1 − [(1−CR×MC)(1−IR×MI)(1−AR×MA)] , 0.915 )</t>
  </si>
  <si>
    <t xml:space="preserve">Modified Exploitability</t>
  </si>
  <si>
    <t xml:space="preserve">8.22 × MAV × MAC × MPR × MUI</t>
  </si>
  <si>
    <t xml:space="preserve">Modified Impact</t>
  </si>
  <si>
    <t xml:space="preserve">Unchanged: 6.42 × MISS    Changed: 7.52 × (MISS−0.029) − 3.25 × (MISS×0.9731−0.02)¹³</t>
  </si>
  <si>
    <t xml:space="preserve">Env. sub-total (rounded)</t>
  </si>
  <si>
    <t xml:space="preserve">Roundup( min( [1.08 if MScope Changed] × (ModImpact + ModExploit), 10) )</t>
  </si>
  <si>
    <t xml:space="preserve">REAL THREAT SCORE  (Environmental)</t>
  </si>
  <si>
    <t xml:space="preserve">0 if ModImpact ≤ 0, else Roundup( Env.sub-total × E × RL × RC )</t>
  </si>
  <si>
    <t xml:space="preserve">CVSS v3.1 Metric Constants  —  source: FIRST.org Specification, Table 16</t>
  </si>
  <si>
    <t xml:space="preserve">These are the official numeric weights the formulas look up. Do not edit unless the standard changes.</t>
  </si>
  <si>
    <t xml:space="preserve">Attack Vector (AV / MAV)</t>
  </si>
  <si>
    <t xml:space="preserve">N</t>
  </si>
  <si>
    <t xml:space="preserve">Adjacent</t>
  </si>
  <si>
    <t xml:space="preserve">A</t>
  </si>
  <si>
    <t xml:space="preserve">Local</t>
  </si>
  <si>
    <t xml:space="preserve">L</t>
  </si>
  <si>
    <t xml:space="preserve">Physical</t>
  </si>
  <si>
    <t xml:space="preserve">P</t>
  </si>
  <si>
    <t xml:space="preserve">Attack Complexity (AC / MAC)</t>
  </si>
  <si>
    <t xml:space="preserve">H</t>
  </si>
  <si>
    <t xml:space="preserve">Privileges Required (PR / MPR)</t>
  </si>
  <si>
    <t xml:space="preserve">Weight (Scope Unchanged)</t>
  </si>
  <si>
    <t xml:space="preserve">Weight (Scope Changed)</t>
  </si>
  <si>
    <t xml:space="preserve">User Interaction (UI / MUI)</t>
  </si>
  <si>
    <t xml:space="preserve">Required</t>
  </si>
  <si>
    <t xml:space="preserve">R</t>
  </si>
  <si>
    <t xml:space="preserve">Scope (S / MS)</t>
  </si>
  <si>
    <t xml:space="preserve">U</t>
  </si>
  <si>
    <t xml:space="preserve">Changed</t>
  </si>
  <si>
    <t xml:space="preserve">C</t>
  </si>
  <si>
    <t xml:space="preserve">Confidentiality / Integrity / Availability (C,I,A &amp; MC,MI,MA)</t>
  </si>
  <si>
    <t xml:space="preserve">X</t>
  </si>
  <si>
    <t xml:space="preserve">Functional</t>
  </si>
  <si>
    <t xml:space="preserve">F</t>
  </si>
  <si>
    <t xml:space="preserve">Proof-of-Concept</t>
  </si>
  <si>
    <t xml:space="preserve">Unproven</t>
  </si>
  <si>
    <t xml:space="preserve">Unavailable</t>
  </si>
  <si>
    <t xml:space="preserve">Workaround</t>
  </si>
  <si>
    <t xml:space="preserve">W</t>
  </si>
  <si>
    <t xml:space="preserve">Temporary Fix</t>
  </si>
  <si>
    <t xml:space="preserve">T</t>
  </si>
  <si>
    <t xml:space="preserve">Official Fix</t>
  </si>
  <si>
    <t xml:space="preserve">O</t>
  </si>
  <si>
    <t xml:space="preserve">Confirmed</t>
  </si>
  <si>
    <t xml:space="preserve">Reasonable</t>
  </si>
  <si>
    <t xml:space="preserve">Unknown</t>
  </si>
  <si>
    <t xml:space="preserve">Security Requirements (CR / IR / AR)</t>
  </si>
  <si>
    <t xml:space="preserve">Medium</t>
  </si>
  <si>
    <t xml:space="preserve">M</t>
  </si>
  <si>
    <t xml:space="preserve">How this calculator works</t>
  </si>
  <si>
    <t xml:space="preserve">What problem this solves</t>
  </si>
  <si>
    <t xml:space="preserve">A published CVE comes with a BASE score (CVSS-B). The base score deliberately assumes a reasonable worst-case and ignores your environment. The same vulnerability can be far more - or far less - dangerous to you depending on where the asset sits, what controls you have, how critical the data is, and whether an exploit actually exists in the wild. CVSS lets you refine the base into an ENVIRONMENTAL score (optionally also adjusted by THREAT / Temporal metrics). That refined number is your 'real threat score'.</t>
  </si>
  <si>
    <t xml:space="preserve">You provide the base vector and your modifications on the Calculator tab. The sheet looks up the official numeric weight for every choice (Reference tab) and runs the exact CVSS v3.1 equations shown below.</t>
  </si>
  <si>
    <t xml:space="preserve">Which CVSS version this uses, and why</t>
  </si>
  <si>
    <t xml:space="preserve">This calculator implements CVSS v3.1 - the version used for the large majority of CVEs in the NVD and the one with a clean, closed-form formula a spreadsheet can reproduce exactly. CVSS v4.0 (released Nov 2023) is the newest standard, but it does NOT use an algebraic environmental formula: it scores via a large lookup table of 'MacroVectors' plus an interpolation routine, which cannot be expressed as a few transparent cell formulas. If you specifically need a v4.0 number, use the official FIRST v4.0 calculator. The concept - base, then modify for your environment and threat reality - is identical across both versions.</t>
  </si>
  <si>
    <t xml:space="preserve">Step 1  -  Base Score (intrinsic severity)</t>
  </si>
  <si>
    <t xml:space="preserve">ISS  =  1 - [ (1-C) x (1-I) x (1-A) ]</t>
  </si>
  <si>
    <t xml:space="preserve">Exploitability  =  8.22 x AV x AC x PR x UI</t>
  </si>
  <si>
    <t xml:space="preserve">Impact  =  6.42 x ISS                                        (if Scope = Unchanged)</t>
  </si>
  <si>
    <t xml:space="preserve">Impact  =  7.52 x (ISS-0.029) - 3.25 x (ISS-0.02)^15         (if Scope = Changed)</t>
  </si>
  <si>
    <t xml:space="preserve">BaseScore = 0 if Impact&lt;=0, else Roundup( min( f x (Impact+Exploitability), 10) )</t>
  </si>
  <si>
    <t xml:space="preserve">           ... where f = 1.08 if Scope is Changed, otherwise 1</t>
  </si>
  <si>
    <t xml:space="preserve">Step 2  -  Environmental / Real Threat Score</t>
  </si>
  <si>
    <t xml:space="preserve">Two things change versus the base. (a) The Modified Base metrics (MAV, MAC, MPR, MUI, MS, MC, MI, MA) replace their base counterparts wherever you set them - 'Not Defined' simply reuses the base value. (b) The Security Requirements (CR, IR, AR) re-weight the impact by how much Confidentiality, Integrity and Availability matter to you (High = 1.5, Medium = 1.0, Low = 0.5).</t>
  </si>
  <si>
    <t xml:space="preserve">MISS  =  min( 1 - [ (1-CR x MC) x (1-IR x MI) x (1-AR x MA) ] , 0.915 )</t>
  </si>
  <si>
    <t xml:space="preserve">ModifiedExploitability  =  8.22 x MAV x MAC x MPR x MUI</t>
  </si>
  <si>
    <t xml:space="preserve">ModifiedImpact  =  6.42 x MISS                                          (MScope Unchanged)</t>
  </si>
  <si>
    <t xml:space="preserve">ModifiedImpact  =  7.52 x (MISS-0.029) - 3.25 x (MISS x 0.9731 - 0.02)^13   (MScope Changed)</t>
  </si>
  <si>
    <t xml:space="preserve">Environmental = 0 if ModifiedImpact&lt;=0, else</t>
  </si>
  <si>
    <t xml:space="preserve">   Roundup( Roundup( min( f x (ModifiedImpact+ModifiedExploitability),10) ) x E x RL x RC )</t>
  </si>
  <si>
    <t xml:space="preserve">f = 1.08 if Modified Scope is Changed, otherwise 1. E / RL / RC are the Threat (Temporal) multipliers, each equal to 1.0 when Not Defined - so they can only ever lower the score.</t>
  </si>
  <si>
    <t xml:space="preserve">The Roundup function (why the score cells look complicated)</t>
  </si>
  <si>
    <t xml:space="preserve">CVSS defines Roundup(x) as the smallest 1-decimal number &gt;= x (e.g. 4.02 -&gt; 4.1, 4.00 -&gt; 4.0). A naive ROUNDUP can give wrong answers because of floating-point error (0.1 + 0.2 = 0.30000000004). The spec's Appendix A fixes this with integer arithmetic, which is exactly what each score cell does: multiply by 100,000, round to an integer, then round up using whole numbers only.</t>
  </si>
  <si>
    <t xml:space="preserve">Severity bands (FIRST qualitative scale)</t>
  </si>
  <si>
    <t xml:space="preserve">None = 0.0     Low = 0.1-3.9     Medium = 4.0-6.9     High = 7.0-8.9     Critical = 9.0-10.0</t>
  </si>
  <si>
    <t xml:space="preserve">Good to know</t>
  </si>
  <si>
    <t xml:space="preserve">- The environmental score can be HIGHER or LOWER than the base. Setting CR/IR/AR to High, or raising a modified metric, pushes it up; mitigations (e.g. MAV Network-&gt;Local, or an Official Fix in RL) push it down.</t>
  </si>
  <si>
    <t xml:space="preserve">- Threat / Temporal multipliers (E, RL, RC) can only reduce or keep the score, never increase it.</t>
  </si>
  <si>
    <t xml:space="preserve">- When every modified / requirement / temporal field is 'Not Defined', the Environmental score equals the Base score by design - that is the correct, expected behaviour.</t>
  </si>
  <si>
    <t xml:space="preserve">- Source of every constant and formula: FIRST.org, CVSS v3.1 Specification Document, Sections 7.3-7.4 and Appendix A  (https://www.first.org/cvss/v3-1/specification-document).</t>
  </si>
</sst>
</file>

<file path=xl/styles.xml><?xml version="1.0" encoding="utf-8"?>
<styleSheet xmlns="http://schemas.openxmlformats.org/spreadsheetml/2006/main">
  <numFmts count="4">
    <numFmt numFmtId="164" formatCode="General"/>
    <numFmt numFmtId="165" formatCode="0.0"/>
    <numFmt numFmtId="166" formatCode="0.00"/>
    <numFmt numFmtId="167" formatCode="0.0000"/>
  </numFmts>
  <fonts count="28">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9"/>
      <color rgb="FF555555"/>
      <name val="Calibri"/>
      <family val="0"/>
      <charset val="1"/>
    </font>
    <font>
      <b val="true"/>
      <sz val="9"/>
      <color rgb="FF2E5E8C"/>
      <name val="Calibri"/>
      <family val="0"/>
      <charset val="1"/>
    </font>
    <font>
      <b val="true"/>
      <sz val="11"/>
      <color rgb="FFFFFFFF"/>
      <name val="Calibri"/>
      <family val="0"/>
      <charset val="1"/>
    </font>
    <font>
      <b val="true"/>
      <sz val="12"/>
      <color rgb="FFFFFFFF"/>
      <name val="Calibri"/>
      <family val="0"/>
      <charset val="1"/>
    </font>
    <font>
      <b val="true"/>
      <sz val="9"/>
      <color rgb="FF000000"/>
      <name val="Calibri"/>
      <family val="0"/>
      <charset val="1"/>
    </font>
    <font>
      <b val="true"/>
      <sz val="10"/>
      <color rgb="FF000000"/>
      <name val="Calibri"/>
      <family val="0"/>
      <charset val="1"/>
    </font>
    <font>
      <b val="true"/>
      <sz val="14"/>
      <color rgb="FF1F3A5F"/>
      <name val="Calibri"/>
      <family val="0"/>
      <charset val="1"/>
    </font>
    <font>
      <sz val="10"/>
      <color rgb="FF000000"/>
      <name val="Calibri"/>
      <family val="0"/>
      <charset val="1"/>
    </font>
    <font>
      <b val="true"/>
      <sz val="10"/>
      <color rgb="FF0000FF"/>
      <name val="Calibri"/>
      <family val="0"/>
      <charset val="1"/>
    </font>
    <font>
      <sz val="10"/>
      <color rgb="FF888888"/>
      <name val="Calibri"/>
      <family val="0"/>
      <charset val="1"/>
    </font>
    <font>
      <sz val="9"/>
      <color rgb="FF000000"/>
      <name val="Calibri"/>
      <family val="0"/>
      <charset val="1"/>
    </font>
    <font>
      <b val="true"/>
      <sz val="11"/>
      <color rgb="FF000000"/>
      <name val="Calibri"/>
      <family val="0"/>
      <charset val="1"/>
    </font>
    <font>
      <b val="true"/>
      <sz val="10"/>
      <color rgb="FF1F3A5F"/>
      <name val="Calibri"/>
      <family val="0"/>
      <charset val="1"/>
    </font>
    <font>
      <b val="true"/>
      <sz val="20"/>
      <color rgb="FFC00000"/>
      <name val="Calibri"/>
      <family val="0"/>
      <charset val="1"/>
    </font>
    <font>
      <b val="true"/>
      <sz val="9"/>
      <color rgb="FF1F3A5F"/>
      <name val="Calibri"/>
      <family val="0"/>
      <charset val="1"/>
    </font>
    <font>
      <sz val="10"/>
      <color rgb="FF006100"/>
      <name val="Calibri"/>
      <family val="0"/>
      <charset val="1"/>
    </font>
    <font>
      <b val="true"/>
      <sz val="13"/>
      <color rgb="FF000000"/>
      <name val="Calibri"/>
      <family val="0"/>
      <charset val="1"/>
    </font>
    <font>
      <sz val="10"/>
      <name val="Arial"/>
      <family val="2"/>
    </font>
    <font>
      <b val="true"/>
      <sz val="12"/>
      <color rgb="FF1F3A5F"/>
      <name val="Calibri"/>
      <family val="0"/>
      <charset val="1"/>
    </font>
    <font>
      <b val="true"/>
      <sz val="10"/>
      <color rgb="FFFFFFFF"/>
      <name val="Calibri"/>
      <family val="0"/>
      <charset val="1"/>
    </font>
    <font>
      <b val="true"/>
      <sz val="16"/>
      <color rgb="FF1F3A5F"/>
      <name val="Calibri"/>
      <family val="0"/>
      <charset val="1"/>
    </font>
    <font>
      <b val="true"/>
      <sz val="13"/>
      <color rgb="FFFFFFFF"/>
      <name val="Calibri"/>
      <family val="0"/>
      <charset val="1"/>
    </font>
    <font>
      <sz val="9.5"/>
      <name val="Consolas"/>
      <family val="0"/>
      <charset val="1"/>
    </font>
  </fonts>
  <fills count="9">
    <fill>
      <patternFill patternType="none"/>
    </fill>
    <fill>
      <patternFill patternType="gray125"/>
    </fill>
    <fill>
      <patternFill patternType="solid">
        <fgColor rgb="FF1F3A5F"/>
        <bgColor rgb="FF333333"/>
      </patternFill>
    </fill>
    <fill>
      <patternFill patternType="solid">
        <fgColor rgb="FF2E5E8C"/>
        <bgColor rgb="FF555555"/>
      </patternFill>
    </fill>
    <fill>
      <patternFill patternType="solid">
        <fgColor rgb="FFDCE6F1"/>
        <bgColor rgb="FFEAF3E6"/>
      </patternFill>
    </fill>
    <fill>
      <patternFill patternType="solid">
        <fgColor rgb="FFEAF3E6"/>
        <bgColor rgb="FFF2F2F2"/>
      </patternFill>
    </fill>
    <fill>
      <patternFill patternType="solid">
        <fgColor rgb="FFFFFFFF"/>
        <bgColor rgb="FFF2F2F2"/>
      </patternFill>
    </fill>
    <fill>
      <patternFill patternType="solid">
        <fgColor rgb="FFFFF6CC"/>
        <bgColor rgb="FFEAF3E6"/>
      </patternFill>
    </fill>
    <fill>
      <patternFill patternType="solid">
        <fgColor rgb="FFF2F2F2"/>
        <bgColor rgb="FFEAF3E6"/>
      </patternFill>
    </fill>
  </fills>
  <borders count="3">
    <border diagonalUp="false" diagonalDown="false">
      <left/>
      <right/>
      <top/>
      <bottom/>
      <diagonal/>
    </border>
    <border diagonalUp="false" diagonalDown="false">
      <left style="thin">
        <color rgb="FFB9C4D0"/>
      </left>
      <right style="thin">
        <color rgb="FFB9C4D0"/>
      </right>
      <top style="thin">
        <color rgb="FFB9C4D0"/>
      </top>
      <bottom style="thin">
        <color rgb="FFB9C4D0"/>
      </bottom>
      <diagonal/>
    </border>
    <border diagonalUp="false" diagonalDown="false">
      <left style="thin">
        <color rgb="FFB9C4D0"/>
      </left>
      <right/>
      <top style="thin">
        <color rgb="FFB9C4D0"/>
      </top>
      <bottom style="thin">
        <color rgb="FFB9C4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5" fontId="11" fillId="5"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left"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6" fontId="12" fillId="6"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left" vertical="center" textRotation="0" wrapText="false" indent="0" shrinkToFit="false"/>
      <protection locked="true" hidden="false"/>
    </xf>
    <xf numFmtId="164" fontId="16" fillId="5"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left" vertical="center"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6" fontId="12" fillId="8" borderId="1" xfId="0" applyFont="true" applyBorder="true" applyAlignment="true" applyProtection="false">
      <alignment horizontal="center" vertical="center" textRotation="0" wrapText="fals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7" fillId="5" borderId="1" xfId="0" applyFont="true" applyBorder="true" applyAlignment="true" applyProtection="false">
      <alignment horizontal="left" vertical="center" textRotation="0" wrapText="true" indent="0" shrinkToFit="false"/>
      <protection locked="true" hidden="false"/>
    </xf>
    <xf numFmtId="165" fontId="18" fillId="5"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15" fillId="8" borderId="2" xfId="0" applyFont="true" applyBorder="true" applyAlignment="true" applyProtection="false">
      <alignment horizontal="left" vertical="center" textRotation="0" wrapText="true" indent="0" shrinkToFit="false"/>
      <protection locked="true" hidden="false"/>
    </xf>
    <xf numFmtId="164" fontId="20" fillId="6" borderId="1" xfId="0" applyFont="true" applyBorder="true" applyAlignment="true" applyProtection="false">
      <alignment horizontal="center" vertical="center" textRotation="0" wrapText="false" indent="0" shrinkToFit="false"/>
      <protection locked="true" hidden="false"/>
    </xf>
    <xf numFmtId="164" fontId="20" fillId="8"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7" fontId="12" fillId="6" borderId="1" xfId="0" applyFont="true" applyBorder="true" applyAlignment="true" applyProtection="false">
      <alignment horizontal="center" vertical="center" textRotation="0" wrapText="false" indent="0" shrinkToFit="false"/>
      <protection locked="true" hidden="false"/>
    </xf>
    <xf numFmtId="164" fontId="5" fillId="6" borderId="2" xfId="0" applyFont="true" applyBorder="true" applyAlignment="true" applyProtection="false">
      <alignment horizontal="left" vertical="center" textRotation="0" wrapText="true" indent="0" shrinkToFit="false"/>
      <protection locked="true" hidden="false"/>
    </xf>
    <xf numFmtId="167" fontId="12" fillId="8" borderId="1" xfId="0" applyFont="true" applyBorder="true" applyAlignment="true" applyProtection="false">
      <alignment horizontal="center" vertical="center" textRotation="0" wrapText="false" indent="0" shrinkToFit="false"/>
      <protection locked="true" hidden="false"/>
    </xf>
    <xf numFmtId="164" fontId="5" fillId="8" borderId="2" xfId="0" applyFont="true" applyBorder="true" applyAlignment="true" applyProtection="false">
      <alignment horizontal="left" vertical="center" textRotation="0" wrapText="true" indent="0" shrinkToFit="false"/>
      <protection locked="true" hidden="false"/>
    </xf>
    <xf numFmtId="164" fontId="17" fillId="5" borderId="1" xfId="0" applyFont="true" applyBorder="true" applyAlignment="true" applyProtection="false">
      <alignment horizontal="left" vertical="center" textRotation="0" wrapText="false" indent="0" shrinkToFit="false"/>
      <protection locked="true" hidden="false"/>
    </xf>
    <xf numFmtId="165" fontId="21" fillId="5" borderId="1" xfId="0" applyFont="true" applyBorder="true" applyAlignment="true" applyProtection="false">
      <alignment horizontal="center" vertical="center" textRotation="0" wrapText="false" indent="0" shrinkToFit="false"/>
      <protection locked="true" hidden="false"/>
    </xf>
    <xf numFmtId="164" fontId="5" fillId="5" borderId="2" xfId="0" applyFont="true" applyBorder="true" applyAlignment="true" applyProtection="false">
      <alignment horizontal="left" vertical="center" textRotation="0" wrapText="true" indent="0" shrinkToFit="false"/>
      <protection locked="true" hidden="false"/>
    </xf>
    <xf numFmtId="165" fontId="12" fillId="8" borderId="1"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24"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3"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27" fillId="8"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9C4D0"/>
      <rgbColor rgb="FF808080"/>
      <rgbColor rgb="FF9999FF"/>
      <rgbColor rgb="FF993366"/>
      <rgbColor rgb="FFFFF6CC"/>
      <rgbColor rgb="FFEAF3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1"/>
      <rgbColor rgb="FFF2F2F2"/>
      <rgbColor rgb="FFFFFF99"/>
      <rgbColor rgb="FF99CCFF"/>
      <rgbColor rgb="FFFF99CC"/>
      <rgbColor rgb="FFCC99FF"/>
      <rgbColor rgb="FFFFCC99"/>
      <rgbColor rgb="FF3366FF"/>
      <rgbColor rgb="FF33CCCC"/>
      <rgbColor rgb="FF99CC00"/>
      <rgbColor rgb="FFFFCC00"/>
      <rgbColor rgb="FFFF9900"/>
      <rgbColor rgb="FFFF6600"/>
      <rgbColor rgb="FF555555"/>
      <rgbColor rgb="FF888888"/>
      <rgbColor rgb="FF1F3A5F"/>
      <rgbColor rgb="FF339966"/>
      <rgbColor rgb="FF003300"/>
      <rgbColor rgb="FF333300"/>
      <rgbColor rgb="FF993300"/>
      <rgbColor rgb="FF993366"/>
      <rgbColor rgb="FF2E5E8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B1:I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34"/>
    <col collapsed="false" customWidth="true" hidden="false" outlineLevel="0" max="3" min="3" style="1" width="21"/>
    <col collapsed="false" customWidth="true" hidden="false" outlineLevel="0" max="4" min="4" style="1" width="17"/>
    <col collapsed="false" customWidth="true" hidden="false" outlineLevel="0" max="5" min="5" style="1" width="11"/>
    <col collapsed="false" customWidth="true" hidden="false" outlineLevel="0" max="6" min="6" style="1" width="7"/>
    <col collapsed="false" customWidth="true" hidden="false" outlineLevel="0" max="7" min="7" style="1" width="2.5"/>
    <col collapsed="false" customWidth="true" hidden="false" outlineLevel="0" max="8" min="8" style="1" width="26"/>
    <col collapsed="false" customWidth="true" hidden="false" outlineLevel="0" max="9" min="9" style="1" width="24"/>
  </cols>
  <sheetData>
    <row r="1" customFormat="false" ht="30" hidden="false" customHeight="true" outlineLevel="0" collapsed="false">
      <c r="B1" s="2" t="s">
        <v>0</v>
      </c>
      <c r="C1" s="2"/>
      <c r="D1" s="2"/>
      <c r="E1" s="2"/>
      <c r="F1" s="2"/>
      <c r="G1" s="2"/>
      <c r="H1" s="2"/>
      <c r="I1" s="2"/>
    </row>
    <row r="2" customFormat="false" ht="15" hidden="false" customHeight="true" outlineLevel="0" collapsed="false">
      <c r="B2" s="3" t="s">
        <v>1</v>
      </c>
      <c r="C2" s="3"/>
      <c r="D2" s="3"/>
      <c r="E2" s="3"/>
      <c r="F2" s="3"/>
      <c r="G2" s="3"/>
      <c r="H2" s="3"/>
      <c r="I2" s="3"/>
    </row>
    <row r="4" customFormat="false" ht="15" hidden="false" customHeight="true" outlineLevel="0" collapsed="false">
      <c r="B4" s="4" t="s">
        <v>2</v>
      </c>
      <c r="C4" s="4"/>
      <c r="D4" s="4"/>
      <c r="E4" s="4"/>
      <c r="F4" s="4"/>
    </row>
    <row r="6" customFormat="false" ht="19.5" hidden="false" customHeight="true" outlineLevel="0" collapsed="false">
      <c r="B6" s="5" t="s">
        <v>3</v>
      </c>
      <c r="C6" s="5"/>
      <c r="D6" s="5"/>
      <c r="E6" s="5"/>
      <c r="F6" s="5"/>
      <c r="H6" s="6" t="s">
        <v>4</v>
      </c>
      <c r="I6" s="6"/>
    </row>
    <row r="7" customFormat="false" ht="18" hidden="false" customHeight="true" outlineLevel="0" collapsed="false">
      <c r="B7" s="7" t="s">
        <v>5</v>
      </c>
      <c r="C7" s="7" t="s">
        <v>6</v>
      </c>
      <c r="D7" s="7"/>
      <c r="E7" s="7" t="s">
        <v>7</v>
      </c>
      <c r="F7" s="7" t="s">
        <v>8</v>
      </c>
      <c r="H7" s="8" t="s">
        <v>9</v>
      </c>
      <c r="I7" s="9" t="n">
        <f aca="false">C46</f>
        <v>9.8</v>
      </c>
    </row>
    <row r="8" customFormat="false" ht="15" hidden="false" customHeight="true" outlineLevel="0" collapsed="false">
      <c r="B8" s="10" t="s">
        <v>10</v>
      </c>
      <c r="C8" s="11" t="s">
        <v>11</v>
      </c>
      <c r="D8" s="12"/>
      <c r="E8" s="13" t="n">
        <f aca="false">VLOOKUP(C8,Reference!$A$6:$C$9,3,FALSE())</f>
        <v>0.85</v>
      </c>
      <c r="F8" s="14" t="str">
        <f aca="false">VLOOKUP(C8,Reference!$A$6:$C$9,2,FALSE())</f>
        <v>N</v>
      </c>
      <c r="H8" s="15" t="s">
        <v>12</v>
      </c>
      <c r="I8" s="16" t="str">
        <f aca="false">IF(C46=0,"None",IF(C46&lt;4,"Low",IF(C46&lt;7,"Medium",IF(C46&lt;9,"High","Critical"))))</f>
        <v>Critical</v>
      </c>
    </row>
    <row r="9" customFormat="false" ht="15" hidden="false" customHeight="true" outlineLevel="0" collapsed="false">
      <c r="B9" s="17" t="s">
        <v>13</v>
      </c>
      <c r="C9" s="11" t="s">
        <v>14</v>
      </c>
      <c r="D9" s="18"/>
      <c r="E9" s="19" t="n">
        <f aca="false">VLOOKUP(C9,Reference!$A$13:$C$14,3,FALSE())</f>
        <v>0.77</v>
      </c>
      <c r="F9" s="20" t="str">
        <f aca="false">VLOOKUP(C9,Reference!$A$13:$C$14,2,FALSE())</f>
        <v>L</v>
      </c>
    </row>
    <row r="10" customFormat="false" ht="30" hidden="false" customHeight="true" outlineLevel="0" collapsed="false">
      <c r="B10" s="10" t="s">
        <v>15</v>
      </c>
      <c r="C10" s="11" t="s">
        <v>16</v>
      </c>
      <c r="D10" s="12"/>
      <c r="E10" s="13" t="n">
        <f aca="false">VLOOKUP(C10,Reference!$A$18:$D$20,IF(C12="Changed",4,3),FALSE())</f>
        <v>0.85</v>
      </c>
      <c r="F10" s="14" t="str">
        <f aca="false">VLOOKUP(C10,Reference!$A$18:$D$20,2,FALSE())</f>
        <v>N</v>
      </c>
      <c r="H10" s="21" t="s">
        <v>17</v>
      </c>
      <c r="I10" s="22" t="n">
        <f aca="false">C52</f>
        <v>9.8</v>
      </c>
    </row>
    <row r="11" customFormat="false" ht="15" hidden="false" customHeight="true" outlineLevel="0" collapsed="false">
      <c r="B11" s="17" t="s">
        <v>18</v>
      </c>
      <c r="C11" s="11" t="s">
        <v>16</v>
      </c>
      <c r="D11" s="18"/>
      <c r="E11" s="19" t="n">
        <f aca="false">VLOOKUP(C11,Reference!$A$24:$C$25,3,FALSE())</f>
        <v>0.85</v>
      </c>
      <c r="F11" s="20" t="str">
        <f aca="false">VLOOKUP(C11,Reference!$A$24:$C$25,2,FALSE())</f>
        <v>N</v>
      </c>
      <c r="H11" s="15" t="s">
        <v>19</v>
      </c>
      <c r="I11" s="16" t="str">
        <f aca="false">IF(C52=0,"None",IF(C52&lt;4,"Low",IF(C52&lt;7,"Medium",IF(C52&lt;9,"High","Critical"))))</f>
        <v>Critical</v>
      </c>
    </row>
    <row r="12" customFormat="false" ht="15" hidden="false" customHeight="true" outlineLevel="0" collapsed="false">
      <c r="B12" s="10" t="s">
        <v>20</v>
      </c>
      <c r="C12" s="11" t="s">
        <v>21</v>
      </c>
      <c r="D12" s="12"/>
      <c r="E12" s="12"/>
      <c r="F12" s="14" t="str">
        <f aca="false">VLOOKUP(C12,Reference!$A$29:$C$30,2,FALSE())</f>
        <v>U</v>
      </c>
    </row>
    <row r="13" customFormat="false" ht="15" hidden="false" customHeight="true" outlineLevel="0" collapsed="false">
      <c r="B13" s="17" t="s">
        <v>22</v>
      </c>
      <c r="C13" s="11" t="s">
        <v>23</v>
      </c>
      <c r="D13" s="18"/>
      <c r="E13" s="19" t="n">
        <f aca="false">VLOOKUP(C13,Reference!$A$34:$C$36,3,FALSE())</f>
        <v>0.56</v>
      </c>
      <c r="F13" s="20" t="str">
        <f aca="false">VLOOKUP(C13,Reference!$A$34:$C$36,2,FALSE())</f>
        <v>H</v>
      </c>
      <c r="H13" s="23" t="s">
        <v>24</v>
      </c>
      <c r="I13" s="23"/>
    </row>
    <row r="14" customFormat="false" ht="42" hidden="false" customHeight="true" outlineLevel="0" collapsed="false">
      <c r="B14" s="10" t="s">
        <v>25</v>
      </c>
      <c r="C14" s="11" t="s">
        <v>23</v>
      </c>
      <c r="D14" s="12"/>
      <c r="E14" s="13" t="n">
        <f aca="false">VLOOKUP(C14,Reference!$A$34:$C$36,3,FALSE())</f>
        <v>0.56</v>
      </c>
      <c r="F14" s="14" t="str">
        <f aca="false">VLOOKUP(C14,Reference!$A$34:$C$36,2,FALSE())</f>
        <v>H</v>
      </c>
      <c r="H14" s="24" t="str">
        <f aca="false">"CVSS:3.1/AV:"&amp;F8&amp;"/AC:"&amp;F9&amp;"/PR:"&amp;F10&amp;"/UI:"&amp;F11&amp;"/S:"&amp;F12&amp;"/C:"&amp;F13&amp;"/I:"&amp;F14&amp;"/A:"&amp;F15&amp;IF(C36="Not Defined","","/E:"&amp;VLOOKUP(C36,Reference!$A$40:$C$44,2,FALSE()))&amp;IF(C37="Not Defined","","/RL:"&amp;VLOOKUP(C37,Reference!$A$48:$C$52,2,FALSE()))&amp;IF(C38="Not Defined","","/RC:"&amp;VLOOKUP(C38,Reference!$A$56:$C$59,2,FALSE()))&amp;IF(C30="Not Defined","","/CR:"&amp;VLOOKUP(C30,Reference!$A$63:$C$66,2,FALSE()))&amp;IF(C31="Not Defined","","/IR:"&amp;VLOOKUP(C31,Reference!$A$63:$C$66,2,FALSE()))&amp;IF(C32="Not Defined","","/AR:"&amp;VLOOKUP(C32,Reference!$A$63:$C$66,2,FALSE()))&amp;IF(C19="Not Defined","","/MAV:"&amp;VLOOKUP(C19,Reference!$A$6:$C$9,2,FALSE()))&amp;IF(C20="Not Defined","","/MAC:"&amp;VLOOKUP(C20,Reference!$A$13:$C$14,2,FALSE()))&amp;IF(C21="Not Defined","","/MPR:"&amp;VLOOKUP(C21,Reference!$A$18:$D$20,2,FALSE()))&amp;IF(C22="Not Defined","","/MUI:"&amp;VLOOKUP(C22,Reference!$A$24:$C$25,2,FALSE()))&amp;IF(C23="Not Defined","","/MS:"&amp;VLOOKUP(C23,Reference!$A$29:$C$30,2,FALSE()))&amp;IF(C24="Not Defined","","/MC:"&amp;VLOOKUP(C24,Reference!$A$34:$C$36,2,FALSE()))&amp;IF(C25="Not Defined","","/MI:"&amp;VLOOKUP(C25,Reference!$A$34:$C$36,2,FALSE()))&amp;IF(C26="Not Defined","","/MA:"&amp;VLOOKUP(C26,Reference!$A$34:$C$36,2,FALSE()))</f>
        <v>CVSS:3.1/AV:N/AC:L/PR:N/UI:N/S:U/C:H/I:H/A:H</v>
      </c>
      <c r="I14" s="24"/>
    </row>
    <row r="15" customFormat="false" ht="15" hidden="false" customHeight="true" outlineLevel="0" collapsed="false">
      <c r="B15" s="17" t="s">
        <v>26</v>
      </c>
      <c r="C15" s="11" t="s">
        <v>23</v>
      </c>
      <c r="D15" s="18"/>
      <c r="E15" s="19" t="n">
        <f aca="false">VLOOKUP(C15,Reference!$A$34:$C$36,3,FALSE())</f>
        <v>0.56</v>
      </c>
      <c r="F15" s="20" t="str">
        <f aca="false">VLOOKUP(C15,Reference!$A$34:$C$36,2,FALSE())</f>
        <v>H</v>
      </c>
    </row>
    <row r="17" customFormat="false" ht="19.5" hidden="false" customHeight="true" outlineLevel="0" collapsed="false">
      <c r="B17" s="5" t="s">
        <v>27</v>
      </c>
      <c r="C17" s="5"/>
      <c r="D17" s="5"/>
      <c r="E17" s="5"/>
      <c r="F17" s="5"/>
    </row>
    <row r="18" customFormat="false" ht="15" hidden="false" customHeight="true" outlineLevel="0" collapsed="false">
      <c r="B18" s="7" t="s">
        <v>5</v>
      </c>
      <c r="C18" s="7" t="s">
        <v>6</v>
      </c>
      <c r="D18" s="7" t="s">
        <v>28</v>
      </c>
      <c r="E18" s="7" t="s">
        <v>7</v>
      </c>
      <c r="F18" s="7" t="s">
        <v>8</v>
      </c>
    </row>
    <row r="19" customFormat="false" ht="15" hidden="false" customHeight="true" outlineLevel="0" collapsed="false">
      <c r="B19" s="10" t="s">
        <v>29</v>
      </c>
      <c r="C19" s="11" t="s">
        <v>30</v>
      </c>
      <c r="D19" s="25" t="str">
        <f aca="false">IF(C19="Not Defined",C8,C19)</f>
        <v>Network</v>
      </c>
      <c r="E19" s="13" t="n">
        <f aca="false">VLOOKUP(D19,Reference!$A$6:$C$9,3,FALSE())</f>
        <v>0.85</v>
      </c>
      <c r="F19" s="14" t="str">
        <f aca="false">VLOOKUP(D19,Reference!$A$6:$C$9,2,FALSE())</f>
        <v>N</v>
      </c>
    </row>
    <row r="20" customFormat="false" ht="15" hidden="false" customHeight="true" outlineLevel="0" collapsed="false">
      <c r="B20" s="17" t="s">
        <v>31</v>
      </c>
      <c r="C20" s="11" t="s">
        <v>30</v>
      </c>
      <c r="D20" s="26" t="str">
        <f aca="false">IF(C20="Not Defined",C9,C20)</f>
        <v>Low</v>
      </c>
      <c r="E20" s="19" t="n">
        <f aca="false">VLOOKUP(D20,Reference!$A$13:$C$14,3,FALSE())</f>
        <v>0.77</v>
      </c>
      <c r="F20" s="20" t="str">
        <f aca="false">VLOOKUP(D20,Reference!$A$13:$C$14,2,FALSE())</f>
        <v>L</v>
      </c>
    </row>
    <row r="21" customFormat="false" ht="15" hidden="false" customHeight="true" outlineLevel="0" collapsed="false">
      <c r="B21" s="10" t="s">
        <v>32</v>
      </c>
      <c r="C21" s="11" t="s">
        <v>30</v>
      </c>
      <c r="D21" s="25" t="str">
        <f aca="false">IF(C21="Not Defined",C10,C21)</f>
        <v>None</v>
      </c>
      <c r="E21" s="13" t="n">
        <f aca="false">VLOOKUP(D21,Reference!$A$18:$D$20,IF(D23="Changed",4,3),FALSE())</f>
        <v>0.85</v>
      </c>
      <c r="F21" s="14" t="str">
        <f aca="false">VLOOKUP(D21,Reference!$A$18:$D$20,2,FALSE())</f>
        <v>N</v>
      </c>
    </row>
    <row r="22" customFormat="false" ht="15" hidden="false" customHeight="true" outlineLevel="0" collapsed="false">
      <c r="B22" s="17" t="s">
        <v>33</v>
      </c>
      <c r="C22" s="11" t="s">
        <v>30</v>
      </c>
      <c r="D22" s="26" t="str">
        <f aca="false">IF(C22="Not Defined",C11,C22)</f>
        <v>None</v>
      </c>
      <c r="E22" s="19" t="n">
        <f aca="false">VLOOKUP(D22,Reference!$A$24:$C$25,3,FALSE())</f>
        <v>0.85</v>
      </c>
      <c r="F22" s="20" t="str">
        <f aca="false">VLOOKUP(D22,Reference!$A$24:$C$25,2,FALSE())</f>
        <v>N</v>
      </c>
    </row>
    <row r="23" customFormat="false" ht="15" hidden="false" customHeight="true" outlineLevel="0" collapsed="false">
      <c r="B23" s="10" t="s">
        <v>34</v>
      </c>
      <c r="C23" s="11" t="s">
        <v>30</v>
      </c>
      <c r="D23" s="25" t="str">
        <f aca="false">IF(C23="Not Defined",C12,C23)</f>
        <v>Unchanged</v>
      </c>
      <c r="E23" s="12"/>
      <c r="F23" s="14" t="str">
        <f aca="false">VLOOKUP(D23,Reference!$A$29:$C$30,2,FALSE())</f>
        <v>U</v>
      </c>
    </row>
    <row r="24" customFormat="false" ht="15" hidden="false" customHeight="true" outlineLevel="0" collapsed="false">
      <c r="B24" s="17" t="s">
        <v>35</v>
      </c>
      <c r="C24" s="11" t="s">
        <v>30</v>
      </c>
      <c r="D24" s="26" t="str">
        <f aca="false">IF(C24="Not Defined",C13,C24)</f>
        <v>High</v>
      </c>
      <c r="E24" s="19" t="n">
        <f aca="false">VLOOKUP(D24,Reference!$A$34:$C$36,3,FALSE())</f>
        <v>0.56</v>
      </c>
      <c r="F24" s="20" t="str">
        <f aca="false">VLOOKUP(D24,Reference!$A$34:$C$36,2,FALSE())</f>
        <v>H</v>
      </c>
    </row>
    <row r="25" customFormat="false" ht="15" hidden="false" customHeight="true" outlineLevel="0" collapsed="false">
      <c r="B25" s="10" t="s">
        <v>36</v>
      </c>
      <c r="C25" s="11" t="s">
        <v>30</v>
      </c>
      <c r="D25" s="25" t="str">
        <f aca="false">IF(C25="Not Defined",C14,C25)</f>
        <v>High</v>
      </c>
      <c r="E25" s="13" t="n">
        <f aca="false">VLOOKUP(D25,Reference!$A$34:$C$36,3,FALSE())</f>
        <v>0.56</v>
      </c>
      <c r="F25" s="14" t="str">
        <f aca="false">VLOOKUP(D25,Reference!$A$34:$C$36,2,FALSE())</f>
        <v>H</v>
      </c>
    </row>
    <row r="26" customFormat="false" ht="15" hidden="false" customHeight="true" outlineLevel="0" collapsed="false">
      <c r="B26" s="17" t="s">
        <v>37</v>
      </c>
      <c r="C26" s="11" t="s">
        <v>30</v>
      </c>
      <c r="D26" s="26" t="str">
        <f aca="false">IF(C26="Not Defined",C15,C26)</f>
        <v>High</v>
      </c>
      <c r="E26" s="19" t="n">
        <f aca="false">VLOOKUP(D26,Reference!$A$34:$C$36,3,FALSE())</f>
        <v>0.56</v>
      </c>
      <c r="F26" s="20" t="str">
        <f aca="false">VLOOKUP(D26,Reference!$A$34:$C$36,2,FALSE())</f>
        <v>H</v>
      </c>
    </row>
    <row r="28" customFormat="false" ht="19.5" hidden="false" customHeight="true" outlineLevel="0" collapsed="false">
      <c r="B28" s="5" t="s">
        <v>38</v>
      </c>
      <c r="C28" s="5"/>
      <c r="D28" s="5"/>
      <c r="E28" s="5"/>
      <c r="F28" s="5"/>
    </row>
    <row r="29" customFormat="false" ht="15" hidden="false" customHeight="true" outlineLevel="0" collapsed="false">
      <c r="B29" s="7" t="s">
        <v>5</v>
      </c>
      <c r="C29" s="7" t="s">
        <v>6</v>
      </c>
      <c r="D29" s="7"/>
      <c r="E29" s="7" t="s">
        <v>7</v>
      </c>
      <c r="F29" s="7" t="s">
        <v>8</v>
      </c>
    </row>
    <row r="30" customFormat="false" ht="15" hidden="false" customHeight="true" outlineLevel="0" collapsed="false">
      <c r="B30" s="10" t="s">
        <v>39</v>
      </c>
      <c r="C30" s="11" t="s">
        <v>30</v>
      </c>
      <c r="D30" s="12"/>
      <c r="E30" s="13" t="n">
        <f aca="false">VLOOKUP(C30,Reference!$A$63:$C$66,3,FALSE())</f>
        <v>1</v>
      </c>
      <c r="F30" s="14" t="str">
        <f aca="false">VLOOKUP(C30,Reference!$A$63:$C$66,2,FALSE())</f>
        <v>X</v>
      </c>
    </row>
    <row r="31" customFormat="false" ht="15" hidden="false" customHeight="true" outlineLevel="0" collapsed="false">
      <c r="B31" s="17" t="s">
        <v>40</v>
      </c>
      <c r="C31" s="11" t="s">
        <v>30</v>
      </c>
      <c r="D31" s="18"/>
      <c r="E31" s="19" t="n">
        <f aca="false">VLOOKUP(C31,Reference!$A$63:$C$66,3,FALSE())</f>
        <v>1</v>
      </c>
      <c r="F31" s="20" t="str">
        <f aca="false">VLOOKUP(C31,Reference!$A$63:$C$66,2,FALSE())</f>
        <v>X</v>
      </c>
    </row>
    <row r="32" customFormat="false" ht="15" hidden="false" customHeight="true" outlineLevel="0" collapsed="false">
      <c r="B32" s="10" t="s">
        <v>41</v>
      </c>
      <c r="C32" s="11" t="s">
        <v>30</v>
      </c>
      <c r="D32" s="12"/>
      <c r="E32" s="13" t="n">
        <f aca="false">VLOOKUP(C32,Reference!$A$63:$C$66,3,FALSE())</f>
        <v>1</v>
      </c>
      <c r="F32" s="14" t="str">
        <f aca="false">VLOOKUP(C32,Reference!$A$63:$C$66,2,FALSE())</f>
        <v>X</v>
      </c>
    </row>
    <row r="34" customFormat="false" ht="19.5" hidden="false" customHeight="true" outlineLevel="0" collapsed="false">
      <c r="B34" s="5" t="s">
        <v>42</v>
      </c>
      <c r="C34" s="5"/>
      <c r="D34" s="5"/>
      <c r="E34" s="5"/>
      <c r="F34" s="5"/>
    </row>
    <row r="35" customFormat="false" ht="15" hidden="false" customHeight="true" outlineLevel="0" collapsed="false">
      <c r="B35" s="7" t="s">
        <v>5</v>
      </c>
      <c r="C35" s="7" t="s">
        <v>6</v>
      </c>
      <c r="D35" s="7"/>
      <c r="E35" s="7" t="s">
        <v>7</v>
      </c>
      <c r="F35" s="7" t="s">
        <v>8</v>
      </c>
    </row>
    <row r="36" customFormat="false" ht="15" hidden="false" customHeight="true" outlineLevel="0" collapsed="false">
      <c r="B36" s="10" t="s">
        <v>43</v>
      </c>
      <c r="C36" s="11" t="s">
        <v>30</v>
      </c>
      <c r="D36" s="12"/>
      <c r="E36" s="13" t="n">
        <f aca="false">VLOOKUP(C36,Reference!$A$40:$C$44,3,FALSE())</f>
        <v>1</v>
      </c>
      <c r="F36" s="14" t="str">
        <f aca="false">VLOOKUP(C36,Reference!$A$40:$C$44,2,FALSE())</f>
        <v>X</v>
      </c>
    </row>
    <row r="37" customFormat="false" ht="15" hidden="false" customHeight="true" outlineLevel="0" collapsed="false">
      <c r="B37" s="17" t="s">
        <v>44</v>
      </c>
      <c r="C37" s="11" t="s">
        <v>30</v>
      </c>
      <c r="D37" s="18"/>
      <c r="E37" s="19" t="n">
        <f aca="false">VLOOKUP(C37,Reference!$A$48:$C$52,3,FALSE())</f>
        <v>1</v>
      </c>
      <c r="F37" s="20" t="str">
        <f aca="false">VLOOKUP(C37,Reference!$A$48:$C$52,2,FALSE())</f>
        <v>X</v>
      </c>
    </row>
    <row r="38" customFormat="false" ht="15" hidden="false" customHeight="true" outlineLevel="0" collapsed="false">
      <c r="B38" s="10" t="s">
        <v>45</v>
      </c>
      <c r="C38" s="11" t="s">
        <v>30</v>
      </c>
      <c r="D38" s="12"/>
      <c r="E38" s="13" t="n">
        <f aca="false">VLOOKUP(C38,Reference!$A$56:$C$59,3,FALSE())</f>
        <v>1</v>
      </c>
      <c r="F38" s="14" t="str">
        <f aca="false">VLOOKUP(C38,Reference!$A$56:$C$59,2,FALSE())</f>
        <v>X</v>
      </c>
    </row>
    <row r="41" customFormat="false" ht="19.5" hidden="false" customHeight="true" outlineLevel="0" collapsed="false">
      <c r="B41" s="5" t="s">
        <v>46</v>
      </c>
      <c r="C41" s="5"/>
      <c r="D41" s="5"/>
      <c r="E41" s="5"/>
      <c r="F41" s="5"/>
    </row>
    <row r="42" customFormat="false" ht="15" hidden="false" customHeight="true" outlineLevel="0" collapsed="false">
      <c r="B42" s="27" t="s">
        <v>47</v>
      </c>
      <c r="C42" s="27" t="s">
        <v>48</v>
      </c>
      <c r="D42" s="27" t="s">
        <v>49</v>
      </c>
      <c r="E42" s="27"/>
      <c r="F42" s="27"/>
    </row>
    <row r="43" customFormat="false" ht="15" hidden="false" customHeight="true" outlineLevel="0" collapsed="false">
      <c r="B43" s="10" t="s">
        <v>50</v>
      </c>
      <c r="C43" s="28" t="n">
        <f aca="false">1-((1-E13)*(1-E14)*(1-E15))</f>
        <v>0.914816</v>
      </c>
      <c r="D43" s="29" t="s">
        <v>51</v>
      </c>
      <c r="E43" s="29"/>
      <c r="F43" s="29"/>
    </row>
    <row r="44" customFormat="false" ht="15" hidden="false" customHeight="true" outlineLevel="0" collapsed="false">
      <c r="B44" s="17" t="s">
        <v>52</v>
      </c>
      <c r="C44" s="30" t="n">
        <f aca="false">8.22*E8*E9*E10*E11</f>
        <v>3.887042775</v>
      </c>
      <c r="D44" s="31" t="s">
        <v>53</v>
      </c>
      <c r="E44" s="31"/>
      <c r="F44" s="31"/>
    </row>
    <row r="45" customFormat="false" ht="21.75" hidden="false" customHeight="true" outlineLevel="0" collapsed="false">
      <c r="B45" s="10" t="s">
        <v>54</v>
      </c>
      <c r="C45" s="28" t="n">
        <f aca="false">IF(C12="Unchanged",6.42*C43,7.52*(C43-0.029)-3.25*(C43-0.02)^15)</f>
        <v>5.87311872</v>
      </c>
      <c r="D45" s="29" t="s">
        <v>55</v>
      </c>
      <c r="E45" s="29"/>
      <c r="F45" s="29"/>
    </row>
    <row r="46" customFormat="false" ht="21.75" hidden="false" customHeight="true" outlineLevel="0" collapsed="false">
      <c r="B46" s="32" t="s">
        <v>56</v>
      </c>
      <c r="C46" s="33" t="n">
        <f aca="false">IF(C45&lt;=0,0,IF(MOD(ROUND((MIN(IF(C12="Changed",1.08,1)*(C45+C44),10))*100000,0),10000)=0,ROUND((MIN(IF(C12="Changed",1.08,1)*(C45+C44),10))*100000,0)/100000,(INT(ROUND((MIN(IF(C12="Changed",1.08,1)*(C45+C44),10))*100000,0)/10000)+1)/10))</f>
        <v>9.8</v>
      </c>
      <c r="D46" s="34" t="s">
        <v>57</v>
      </c>
      <c r="E46" s="34"/>
      <c r="F46" s="34"/>
    </row>
    <row r="48" customFormat="false" ht="21.75" hidden="false" customHeight="true" outlineLevel="0" collapsed="false">
      <c r="B48" s="10" t="s">
        <v>58</v>
      </c>
      <c r="C48" s="28" t="n">
        <f aca="false">MIN(1-((1-E30*E24)*(1-E31*E25)*(1-E32*E26)),0.915)</f>
        <v>0.914816</v>
      </c>
      <c r="D48" s="29" t="s">
        <v>59</v>
      </c>
      <c r="E48" s="29"/>
      <c r="F48" s="29"/>
    </row>
    <row r="49" customFormat="false" ht="15" hidden="false" customHeight="true" outlineLevel="0" collapsed="false">
      <c r="B49" s="17" t="s">
        <v>60</v>
      </c>
      <c r="C49" s="30" t="n">
        <f aca="false">8.22*E19*E20*E21*E22</f>
        <v>3.887042775</v>
      </c>
      <c r="D49" s="31" t="s">
        <v>61</v>
      </c>
      <c r="E49" s="31"/>
      <c r="F49" s="31"/>
    </row>
    <row r="50" customFormat="false" ht="21.75" hidden="false" customHeight="true" outlineLevel="0" collapsed="false">
      <c r="B50" s="10" t="s">
        <v>62</v>
      </c>
      <c r="C50" s="28" t="n">
        <f aca="false">IF(D23="Unchanged",6.42*C48,7.52*(C48-0.029)-3.25*(C48*0.9731-0.02)^13)</f>
        <v>5.87311872</v>
      </c>
      <c r="D50" s="29" t="s">
        <v>63</v>
      </c>
      <c r="E50" s="29"/>
      <c r="F50" s="29"/>
    </row>
    <row r="51" customFormat="false" ht="21.75" hidden="false" customHeight="true" outlineLevel="0" collapsed="false">
      <c r="B51" s="17" t="s">
        <v>64</v>
      </c>
      <c r="C51" s="35" t="n">
        <f aca="false">IF(C50&lt;=0,0,IF(MOD(ROUND((MIN(IF(D23="Changed",1.08,1)*(C50+C49),10))*100000,0),10000)=0,ROUND((MIN(IF(D23="Changed",1.08,1)*(C50+C49),10))*100000,0)/100000,(INT(ROUND((MIN(IF(D23="Changed",1.08,1)*(C50+C49),10))*100000,0)/10000)+1)/10))</f>
        <v>9.8</v>
      </c>
      <c r="D51" s="31" t="s">
        <v>65</v>
      </c>
      <c r="E51" s="31"/>
      <c r="F51" s="31"/>
    </row>
    <row r="52" customFormat="false" ht="21.75" hidden="false" customHeight="true" outlineLevel="0" collapsed="false">
      <c r="B52" s="32" t="s">
        <v>66</v>
      </c>
      <c r="C52" s="33" t="n">
        <f aca="false">IF(C50&lt;=0,0,IF(MOD(ROUND((C51*E36*E37*E38)*100000,0),10000)=0,ROUND((C51*E36*E37*E38)*100000,0)/100000,(INT(ROUND((C51*E36*E37*E38)*100000,0)/10000)+1)/10))</f>
        <v>9.8</v>
      </c>
      <c r="D52" s="34" t="s">
        <v>67</v>
      </c>
      <c r="E52" s="34"/>
      <c r="F52" s="34"/>
    </row>
  </sheetData>
  <mergeCells count="21">
    <mergeCell ref="B1:I1"/>
    <mergeCell ref="B2:I2"/>
    <mergeCell ref="B4:F4"/>
    <mergeCell ref="B6:F6"/>
    <mergeCell ref="H6:I6"/>
    <mergeCell ref="H13:I13"/>
    <mergeCell ref="H14:I14"/>
    <mergeCell ref="B17:F17"/>
    <mergeCell ref="B28:F28"/>
    <mergeCell ref="B34:F34"/>
    <mergeCell ref="B41:F41"/>
    <mergeCell ref="D42:F42"/>
    <mergeCell ref="D43:F43"/>
    <mergeCell ref="D44:F44"/>
    <mergeCell ref="D45:F45"/>
    <mergeCell ref="D46:F46"/>
    <mergeCell ref="D48:F48"/>
    <mergeCell ref="D49:F49"/>
    <mergeCell ref="D50:F50"/>
    <mergeCell ref="D51:F51"/>
    <mergeCell ref="D52:F52"/>
  </mergeCells>
  <conditionalFormatting sqref="I7">
    <cfRule type="colorScale" priority="2">
      <colorScale>
        <cfvo type="num" val="0"/>
        <cfvo type="num" val="5"/>
        <cfvo type="num" val="10"/>
        <color rgb="FF63BE7B"/>
        <color rgb="FFFFEB84"/>
        <color rgb="FFF8696B"/>
      </colorScale>
    </cfRule>
  </conditionalFormatting>
  <conditionalFormatting sqref="I10">
    <cfRule type="colorScale" priority="3">
      <colorScale>
        <cfvo type="num" val="0"/>
        <cfvo type="num" val="5"/>
        <cfvo type="num" val="10"/>
        <color rgb="FF63BE7B"/>
        <color rgb="FFFFEB84"/>
        <color rgb="FFF8696B"/>
      </colorScale>
    </cfRule>
  </conditionalFormatting>
  <dataValidations count="22">
    <dataValidation allowBlank="false" errorStyle="stop" operator="between" showDropDown="false" showErrorMessage="false" showInputMessage="false" sqref="C8" type="list">
      <formula1>"Network,Adjacent,Local,Physical"</formula1>
      <formula2>0</formula2>
    </dataValidation>
    <dataValidation allowBlank="false" errorStyle="stop" operator="between" showDropDown="false" showErrorMessage="false" showInputMessage="false" sqref="C9" type="list">
      <formula1>"Low,High"</formula1>
      <formula2>0</formula2>
    </dataValidation>
    <dataValidation allowBlank="false" errorStyle="stop" operator="between" showDropDown="false" showErrorMessage="false" showInputMessage="false" sqref="C10" type="list">
      <formula1>"None,Low,High"</formula1>
      <formula2>0</formula2>
    </dataValidation>
    <dataValidation allowBlank="false" errorStyle="stop" operator="between" showDropDown="false" showErrorMessage="false" showInputMessage="false" sqref="C11" type="list">
      <formula1>"None,Required"</formula1>
      <formula2>0</formula2>
    </dataValidation>
    <dataValidation allowBlank="false" errorStyle="stop" operator="between" showDropDown="false" showErrorMessage="false" showInputMessage="false" sqref="C12" type="list">
      <formula1>"Unchanged,Changed"</formula1>
      <formula2>0</formula2>
    </dataValidation>
    <dataValidation allowBlank="false" errorStyle="stop" operator="between" showDropDown="false" showErrorMessage="false" showInputMessage="false" sqref="C13" type="list">
      <formula1>"High,Low,None"</formula1>
      <formula2>0</formula2>
    </dataValidation>
    <dataValidation allowBlank="false" errorStyle="stop" operator="between" showDropDown="false" showErrorMessage="false" showInputMessage="false" sqref="C14" type="list">
      <formula1>"High,Low,None"</formula1>
      <formula2>0</formula2>
    </dataValidation>
    <dataValidation allowBlank="false" errorStyle="stop" operator="between" showDropDown="false" showErrorMessage="false" showInputMessage="false" sqref="C15" type="list">
      <formula1>"High,Low,None"</formula1>
      <formula2>0</formula2>
    </dataValidation>
    <dataValidation allowBlank="false" errorStyle="stop" operator="between" showDropDown="false" showErrorMessage="false" showInputMessage="false" sqref="C19" type="list">
      <formula1>"Not Defined,Network,Adjacent,Local,Physical"</formula1>
      <formula2>0</formula2>
    </dataValidation>
    <dataValidation allowBlank="false" errorStyle="stop" operator="between" showDropDown="false" showErrorMessage="false" showInputMessage="false" sqref="C20" type="list">
      <formula1>"Not Defined,Low,High"</formula1>
      <formula2>0</formula2>
    </dataValidation>
    <dataValidation allowBlank="false" errorStyle="stop" operator="between" showDropDown="false" showErrorMessage="false" showInputMessage="false" sqref="C21" type="list">
      <formula1>"Not Defined,None,Low,High"</formula1>
      <formula2>0</formula2>
    </dataValidation>
    <dataValidation allowBlank="false" errorStyle="stop" operator="between" showDropDown="false" showErrorMessage="false" showInputMessage="false" sqref="C22" type="list">
      <formula1>"Not Defined,None,Required"</formula1>
      <formula2>0</formula2>
    </dataValidation>
    <dataValidation allowBlank="false" errorStyle="stop" operator="between" showDropDown="false" showErrorMessage="false" showInputMessage="false" sqref="C23" type="list">
      <formula1>"Not Defined,Unchanged,Changed"</formula1>
      <formula2>0</formula2>
    </dataValidation>
    <dataValidation allowBlank="false" errorStyle="stop" operator="between" showDropDown="false" showErrorMessage="false" showInputMessage="false" sqref="C24" type="list">
      <formula1>"Not Defined,High,Low,None"</formula1>
      <formula2>0</formula2>
    </dataValidation>
    <dataValidation allowBlank="false" errorStyle="stop" operator="between" showDropDown="false" showErrorMessage="false" showInputMessage="false" sqref="C25" type="list">
      <formula1>"Not Defined,High,Low,None"</formula1>
      <formula2>0</formula2>
    </dataValidation>
    <dataValidation allowBlank="false" errorStyle="stop" operator="between" showDropDown="false" showErrorMessage="false" showInputMessage="false" sqref="C26" type="list">
      <formula1>"Not Defined,High,Low,None"</formula1>
      <formula2>0</formula2>
    </dataValidation>
    <dataValidation allowBlank="false" errorStyle="stop" operator="between" showDropDown="false" showErrorMessage="false" showInputMessage="false" sqref="C30" type="list">
      <formula1>"Not Defined,High,Medium,Low"</formula1>
      <formula2>0</formula2>
    </dataValidation>
    <dataValidation allowBlank="false" errorStyle="stop" operator="between" showDropDown="false" showErrorMessage="false" showInputMessage="false" sqref="C31" type="list">
      <formula1>"Not Defined,High,Medium,Low"</formula1>
      <formula2>0</formula2>
    </dataValidation>
    <dataValidation allowBlank="false" errorStyle="stop" operator="between" showDropDown="false" showErrorMessage="false" showInputMessage="false" sqref="C32" type="list">
      <formula1>"Not Defined,High,Medium,Low"</formula1>
      <formula2>0</formula2>
    </dataValidation>
    <dataValidation allowBlank="false" errorStyle="stop" operator="between" showDropDown="false" showErrorMessage="false" showInputMessage="false" sqref="C36" type="list">
      <formula1>"Not Defined,High,Functional,Proof-of-Concept,Unproven"</formula1>
      <formula2>0</formula2>
    </dataValidation>
    <dataValidation allowBlank="false" errorStyle="stop" operator="between" showDropDown="false" showErrorMessage="false" showInputMessage="false" sqref="C37" type="list">
      <formula1>"Not Defined,Unavailable,Workaround,Temporary Fix,Official Fix"</formula1>
      <formula2>0</formula2>
    </dataValidation>
    <dataValidation allowBlank="false" errorStyle="stop" operator="between" showDropDown="false" showErrorMessage="false" showInputMessage="false" sqref="C38" type="list">
      <formula1>"Not Defined,Confirmed,Reasonable,Unknown"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8C"/>
    <pageSetUpPr fitToPage="false"/>
  </sheetPr>
  <dimension ref="A1:D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
    <col collapsed="false" customWidth="true" hidden="false" outlineLevel="0" max="4" min="3" style="1" width="22"/>
  </cols>
  <sheetData>
    <row r="1" customFormat="false" ht="15" hidden="false" customHeight="true" outlineLevel="0" collapsed="false">
      <c r="A1" s="36" t="s">
        <v>68</v>
      </c>
    </row>
    <row r="2" customFormat="false" ht="15" hidden="false" customHeight="true" outlineLevel="0" collapsed="false">
      <c r="A2" s="37" t="s">
        <v>69</v>
      </c>
    </row>
    <row r="4" customFormat="false" ht="15" hidden="false" customHeight="true" outlineLevel="0" collapsed="false">
      <c r="A4" s="38" t="s">
        <v>70</v>
      </c>
      <c r="B4" s="39"/>
      <c r="C4" s="39"/>
    </row>
    <row r="5" customFormat="false" ht="15" hidden="false" customHeight="true" outlineLevel="0" collapsed="false">
      <c r="A5" s="40" t="s">
        <v>48</v>
      </c>
      <c r="B5" s="40" t="s">
        <v>8</v>
      </c>
      <c r="C5" s="40" t="s">
        <v>7</v>
      </c>
    </row>
    <row r="6" customFormat="false" ht="15" hidden="false" customHeight="true" outlineLevel="0" collapsed="false">
      <c r="A6" s="41" t="s">
        <v>11</v>
      </c>
      <c r="B6" s="41" t="s">
        <v>71</v>
      </c>
      <c r="C6" s="42" t="n">
        <v>0.85</v>
      </c>
    </row>
    <row r="7" customFormat="false" ht="15" hidden="false" customHeight="true" outlineLevel="0" collapsed="false">
      <c r="A7" s="41" t="s">
        <v>72</v>
      </c>
      <c r="B7" s="41" t="s">
        <v>73</v>
      </c>
      <c r="C7" s="42" t="n">
        <v>0.62</v>
      </c>
    </row>
    <row r="8" customFormat="false" ht="15" hidden="false" customHeight="true" outlineLevel="0" collapsed="false">
      <c r="A8" s="41" t="s">
        <v>74</v>
      </c>
      <c r="B8" s="41" t="s">
        <v>75</v>
      </c>
      <c r="C8" s="42" t="n">
        <v>0.55</v>
      </c>
    </row>
    <row r="9" customFormat="false" ht="15" hidden="false" customHeight="true" outlineLevel="0" collapsed="false">
      <c r="A9" s="41" t="s">
        <v>76</v>
      </c>
      <c r="B9" s="41" t="s">
        <v>77</v>
      </c>
      <c r="C9" s="42" t="n">
        <v>0.2</v>
      </c>
    </row>
    <row r="11" customFormat="false" ht="15" hidden="false" customHeight="true" outlineLevel="0" collapsed="false">
      <c r="A11" s="38" t="s">
        <v>78</v>
      </c>
      <c r="B11" s="39"/>
      <c r="C11" s="39"/>
    </row>
    <row r="12" customFormat="false" ht="15" hidden="false" customHeight="true" outlineLevel="0" collapsed="false">
      <c r="A12" s="40" t="s">
        <v>48</v>
      </c>
      <c r="B12" s="40" t="s">
        <v>8</v>
      </c>
      <c r="C12" s="40" t="s">
        <v>7</v>
      </c>
    </row>
    <row r="13" customFormat="false" ht="15" hidden="false" customHeight="true" outlineLevel="0" collapsed="false">
      <c r="A13" s="41" t="s">
        <v>14</v>
      </c>
      <c r="B13" s="41" t="s">
        <v>75</v>
      </c>
      <c r="C13" s="42" t="n">
        <v>0.77</v>
      </c>
    </row>
    <row r="14" customFormat="false" ht="15" hidden="false" customHeight="true" outlineLevel="0" collapsed="false">
      <c r="A14" s="41" t="s">
        <v>23</v>
      </c>
      <c r="B14" s="41" t="s">
        <v>79</v>
      </c>
      <c r="C14" s="42" t="n">
        <v>0.44</v>
      </c>
    </row>
    <row r="16" customFormat="false" ht="15" hidden="false" customHeight="true" outlineLevel="0" collapsed="false">
      <c r="A16" s="38" t="s">
        <v>80</v>
      </c>
      <c r="B16" s="39"/>
      <c r="C16" s="39"/>
      <c r="D16" s="39"/>
    </row>
    <row r="17" customFormat="false" ht="15" hidden="false" customHeight="true" outlineLevel="0" collapsed="false">
      <c r="A17" s="40" t="s">
        <v>48</v>
      </c>
      <c r="B17" s="40" t="s">
        <v>8</v>
      </c>
      <c r="C17" s="40" t="s">
        <v>81</v>
      </c>
      <c r="D17" s="40" t="s">
        <v>82</v>
      </c>
    </row>
    <row r="18" customFormat="false" ht="15" hidden="false" customHeight="true" outlineLevel="0" collapsed="false">
      <c r="A18" s="41" t="s">
        <v>16</v>
      </c>
      <c r="B18" s="41" t="s">
        <v>71</v>
      </c>
      <c r="C18" s="42" t="n">
        <v>0.85</v>
      </c>
      <c r="D18" s="42" t="n">
        <v>0.85</v>
      </c>
    </row>
    <row r="19" customFormat="false" ht="15" hidden="false" customHeight="true" outlineLevel="0" collapsed="false">
      <c r="A19" s="41" t="s">
        <v>14</v>
      </c>
      <c r="B19" s="41" t="s">
        <v>75</v>
      </c>
      <c r="C19" s="42" t="n">
        <v>0.62</v>
      </c>
      <c r="D19" s="42" t="n">
        <v>0.68</v>
      </c>
    </row>
    <row r="20" customFormat="false" ht="15" hidden="false" customHeight="true" outlineLevel="0" collapsed="false">
      <c r="A20" s="41" t="s">
        <v>23</v>
      </c>
      <c r="B20" s="41" t="s">
        <v>79</v>
      </c>
      <c r="C20" s="42" t="n">
        <v>0.27</v>
      </c>
      <c r="D20" s="42" t="n">
        <v>0.5</v>
      </c>
    </row>
    <row r="22" customFormat="false" ht="15" hidden="false" customHeight="true" outlineLevel="0" collapsed="false">
      <c r="A22" s="38" t="s">
        <v>83</v>
      </c>
      <c r="B22" s="39"/>
      <c r="C22" s="39"/>
    </row>
    <row r="23" customFormat="false" ht="15" hidden="false" customHeight="true" outlineLevel="0" collapsed="false">
      <c r="A23" s="40" t="s">
        <v>48</v>
      </c>
      <c r="B23" s="40" t="s">
        <v>8</v>
      </c>
      <c r="C23" s="40" t="s">
        <v>7</v>
      </c>
    </row>
    <row r="24" customFormat="false" ht="15" hidden="false" customHeight="true" outlineLevel="0" collapsed="false">
      <c r="A24" s="41" t="s">
        <v>16</v>
      </c>
      <c r="B24" s="41" t="s">
        <v>71</v>
      </c>
      <c r="C24" s="42" t="n">
        <v>0.85</v>
      </c>
    </row>
    <row r="25" customFormat="false" ht="15" hidden="false" customHeight="true" outlineLevel="0" collapsed="false">
      <c r="A25" s="41" t="s">
        <v>84</v>
      </c>
      <c r="B25" s="41" t="s">
        <v>85</v>
      </c>
      <c r="C25" s="42" t="n">
        <v>0.62</v>
      </c>
    </row>
    <row r="27" customFormat="false" ht="15" hidden="false" customHeight="true" outlineLevel="0" collapsed="false">
      <c r="A27" s="38" t="s">
        <v>86</v>
      </c>
      <c r="B27" s="39"/>
      <c r="C27" s="39"/>
    </row>
    <row r="28" customFormat="false" ht="15" hidden="false" customHeight="true" outlineLevel="0" collapsed="false">
      <c r="A28" s="40" t="s">
        <v>48</v>
      </c>
      <c r="B28" s="40" t="s">
        <v>8</v>
      </c>
      <c r="C28" s="40" t="s">
        <v>7</v>
      </c>
    </row>
    <row r="29" customFormat="false" ht="15" hidden="false" customHeight="true" outlineLevel="0" collapsed="false">
      <c r="A29" s="41" t="s">
        <v>21</v>
      </c>
      <c r="B29" s="41" t="s">
        <v>87</v>
      </c>
      <c r="C29" s="42" t="n">
        <v>0</v>
      </c>
    </row>
    <row r="30" customFormat="false" ht="15" hidden="false" customHeight="true" outlineLevel="0" collapsed="false">
      <c r="A30" s="41" t="s">
        <v>88</v>
      </c>
      <c r="B30" s="41" t="s">
        <v>89</v>
      </c>
      <c r="C30" s="42" t="n">
        <v>0</v>
      </c>
    </row>
    <row r="32" customFormat="false" ht="15" hidden="false" customHeight="true" outlineLevel="0" collapsed="false">
      <c r="A32" s="38" t="s">
        <v>90</v>
      </c>
      <c r="B32" s="39"/>
      <c r="C32" s="39"/>
    </row>
    <row r="33" customFormat="false" ht="15" hidden="false" customHeight="true" outlineLevel="0" collapsed="false">
      <c r="A33" s="40" t="s">
        <v>48</v>
      </c>
      <c r="B33" s="40" t="s">
        <v>8</v>
      </c>
      <c r="C33" s="40" t="s">
        <v>7</v>
      </c>
    </row>
    <row r="34" customFormat="false" ht="15" hidden="false" customHeight="true" outlineLevel="0" collapsed="false">
      <c r="A34" s="41" t="s">
        <v>23</v>
      </c>
      <c r="B34" s="41" t="s">
        <v>79</v>
      </c>
      <c r="C34" s="42" t="n">
        <v>0.56</v>
      </c>
    </row>
    <row r="35" customFormat="false" ht="15" hidden="false" customHeight="true" outlineLevel="0" collapsed="false">
      <c r="A35" s="41" t="s">
        <v>14</v>
      </c>
      <c r="B35" s="41" t="s">
        <v>75</v>
      </c>
      <c r="C35" s="42" t="n">
        <v>0.22</v>
      </c>
    </row>
    <row r="36" customFormat="false" ht="15" hidden="false" customHeight="true" outlineLevel="0" collapsed="false">
      <c r="A36" s="41" t="s">
        <v>16</v>
      </c>
      <c r="B36" s="41" t="s">
        <v>71</v>
      </c>
      <c r="C36" s="42" t="n">
        <v>0</v>
      </c>
    </row>
    <row r="38" customFormat="false" ht="15" hidden="false" customHeight="true" outlineLevel="0" collapsed="false">
      <c r="A38" s="38" t="s">
        <v>43</v>
      </c>
      <c r="B38" s="39"/>
      <c r="C38" s="39"/>
    </row>
    <row r="39" customFormat="false" ht="15" hidden="false" customHeight="true" outlineLevel="0" collapsed="false">
      <c r="A39" s="40" t="s">
        <v>48</v>
      </c>
      <c r="B39" s="40" t="s">
        <v>8</v>
      </c>
      <c r="C39" s="40" t="s">
        <v>7</v>
      </c>
    </row>
    <row r="40" customFormat="false" ht="15" hidden="false" customHeight="true" outlineLevel="0" collapsed="false">
      <c r="A40" s="41" t="s">
        <v>30</v>
      </c>
      <c r="B40" s="41" t="s">
        <v>91</v>
      </c>
      <c r="C40" s="42" t="n">
        <v>1</v>
      </c>
    </row>
    <row r="41" customFormat="false" ht="15" hidden="false" customHeight="true" outlineLevel="0" collapsed="false">
      <c r="A41" s="41" t="s">
        <v>23</v>
      </c>
      <c r="B41" s="41" t="s">
        <v>79</v>
      </c>
      <c r="C41" s="42" t="n">
        <v>1</v>
      </c>
    </row>
    <row r="42" customFormat="false" ht="15" hidden="false" customHeight="true" outlineLevel="0" collapsed="false">
      <c r="A42" s="41" t="s">
        <v>92</v>
      </c>
      <c r="B42" s="41" t="s">
        <v>93</v>
      </c>
      <c r="C42" s="42" t="n">
        <v>0.97</v>
      </c>
    </row>
    <row r="43" customFormat="false" ht="15" hidden="false" customHeight="true" outlineLevel="0" collapsed="false">
      <c r="A43" s="41" t="s">
        <v>94</v>
      </c>
      <c r="B43" s="41" t="s">
        <v>77</v>
      </c>
      <c r="C43" s="42" t="n">
        <v>0.94</v>
      </c>
    </row>
    <row r="44" customFormat="false" ht="15" hidden="false" customHeight="true" outlineLevel="0" collapsed="false">
      <c r="A44" s="41" t="s">
        <v>95</v>
      </c>
      <c r="B44" s="41" t="s">
        <v>87</v>
      </c>
      <c r="C44" s="42" t="n">
        <v>0.91</v>
      </c>
    </row>
    <row r="46" customFormat="false" ht="15" hidden="false" customHeight="true" outlineLevel="0" collapsed="false">
      <c r="A46" s="38" t="s">
        <v>44</v>
      </c>
      <c r="B46" s="39"/>
      <c r="C46" s="39"/>
    </row>
    <row r="47" customFormat="false" ht="15" hidden="false" customHeight="true" outlineLevel="0" collapsed="false">
      <c r="A47" s="40" t="s">
        <v>48</v>
      </c>
      <c r="B47" s="40" t="s">
        <v>8</v>
      </c>
      <c r="C47" s="40" t="s">
        <v>7</v>
      </c>
    </row>
    <row r="48" customFormat="false" ht="15" hidden="false" customHeight="true" outlineLevel="0" collapsed="false">
      <c r="A48" s="41" t="s">
        <v>30</v>
      </c>
      <c r="B48" s="41" t="s">
        <v>91</v>
      </c>
      <c r="C48" s="42" t="n">
        <v>1</v>
      </c>
    </row>
    <row r="49" customFormat="false" ht="15" hidden="false" customHeight="true" outlineLevel="0" collapsed="false">
      <c r="A49" s="41" t="s">
        <v>96</v>
      </c>
      <c r="B49" s="41" t="s">
        <v>87</v>
      </c>
      <c r="C49" s="42" t="n">
        <v>1</v>
      </c>
    </row>
    <row r="50" customFormat="false" ht="15" hidden="false" customHeight="true" outlineLevel="0" collapsed="false">
      <c r="A50" s="41" t="s">
        <v>97</v>
      </c>
      <c r="B50" s="41" t="s">
        <v>98</v>
      </c>
      <c r="C50" s="42" t="n">
        <v>0.97</v>
      </c>
    </row>
    <row r="51" customFormat="false" ht="15" hidden="false" customHeight="true" outlineLevel="0" collapsed="false">
      <c r="A51" s="41" t="s">
        <v>99</v>
      </c>
      <c r="B51" s="41" t="s">
        <v>100</v>
      </c>
      <c r="C51" s="42" t="n">
        <v>0.96</v>
      </c>
    </row>
    <row r="52" customFormat="false" ht="15" hidden="false" customHeight="true" outlineLevel="0" collapsed="false">
      <c r="A52" s="41" t="s">
        <v>101</v>
      </c>
      <c r="B52" s="41" t="s">
        <v>102</v>
      </c>
      <c r="C52" s="42" t="n">
        <v>0.95</v>
      </c>
    </row>
    <row r="54" customFormat="false" ht="15" hidden="false" customHeight="true" outlineLevel="0" collapsed="false">
      <c r="A54" s="38" t="s">
        <v>45</v>
      </c>
      <c r="B54" s="39"/>
      <c r="C54" s="39"/>
    </row>
    <row r="55" customFormat="false" ht="15" hidden="false" customHeight="true" outlineLevel="0" collapsed="false">
      <c r="A55" s="40" t="s">
        <v>48</v>
      </c>
      <c r="B55" s="40" t="s">
        <v>8</v>
      </c>
      <c r="C55" s="40" t="s">
        <v>7</v>
      </c>
    </row>
    <row r="56" customFormat="false" ht="15" hidden="false" customHeight="true" outlineLevel="0" collapsed="false">
      <c r="A56" s="41" t="s">
        <v>30</v>
      </c>
      <c r="B56" s="41" t="s">
        <v>91</v>
      </c>
      <c r="C56" s="42" t="n">
        <v>1</v>
      </c>
    </row>
    <row r="57" customFormat="false" ht="15" hidden="false" customHeight="true" outlineLevel="0" collapsed="false">
      <c r="A57" s="41" t="s">
        <v>103</v>
      </c>
      <c r="B57" s="41" t="s">
        <v>89</v>
      </c>
      <c r="C57" s="42" t="n">
        <v>1</v>
      </c>
    </row>
    <row r="58" customFormat="false" ht="15" hidden="false" customHeight="true" outlineLevel="0" collapsed="false">
      <c r="A58" s="41" t="s">
        <v>104</v>
      </c>
      <c r="B58" s="41" t="s">
        <v>85</v>
      </c>
      <c r="C58" s="42" t="n">
        <v>0.96</v>
      </c>
    </row>
    <row r="59" customFormat="false" ht="15" hidden="false" customHeight="true" outlineLevel="0" collapsed="false">
      <c r="A59" s="41" t="s">
        <v>105</v>
      </c>
      <c r="B59" s="41" t="s">
        <v>87</v>
      </c>
      <c r="C59" s="42" t="n">
        <v>0.92</v>
      </c>
    </row>
    <row r="61" customFormat="false" ht="15" hidden="false" customHeight="true" outlineLevel="0" collapsed="false">
      <c r="A61" s="38" t="s">
        <v>106</v>
      </c>
      <c r="B61" s="39"/>
      <c r="C61" s="39"/>
    </row>
    <row r="62" customFormat="false" ht="15" hidden="false" customHeight="true" outlineLevel="0" collapsed="false">
      <c r="A62" s="40" t="s">
        <v>48</v>
      </c>
      <c r="B62" s="40" t="s">
        <v>8</v>
      </c>
      <c r="C62" s="40" t="s">
        <v>7</v>
      </c>
    </row>
    <row r="63" customFormat="false" ht="15" hidden="false" customHeight="true" outlineLevel="0" collapsed="false">
      <c r="A63" s="41" t="s">
        <v>30</v>
      </c>
      <c r="B63" s="41" t="s">
        <v>91</v>
      </c>
      <c r="C63" s="42" t="n">
        <v>1</v>
      </c>
    </row>
    <row r="64" customFormat="false" ht="15" hidden="false" customHeight="true" outlineLevel="0" collapsed="false">
      <c r="A64" s="41" t="s">
        <v>23</v>
      </c>
      <c r="B64" s="41" t="s">
        <v>79</v>
      </c>
      <c r="C64" s="42" t="n">
        <v>1.5</v>
      </c>
    </row>
    <row r="65" customFormat="false" ht="15" hidden="false" customHeight="true" outlineLevel="0" collapsed="false">
      <c r="A65" s="41" t="s">
        <v>107</v>
      </c>
      <c r="B65" s="41" t="s">
        <v>108</v>
      </c>
      <c r="C65" s="42" t="n">
        <v>1</v>
      </c>
    </row>
    <row r="66" customFormat="false" ht="15" hidden="false" customHeight="true" outlineLevel="0" collapsed="false">
      <c r="A66" s="41" t="s">
        <v>14</v>
      </c>
      <c r="B66" s="41" t="s">
        <v>75</v>
      </c>
      <c r="C66" s="42" t="n">
        <v>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1:B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4"/>
  </cols>
  <sheetData>
    <row r="1" customFormat="false" ht="27.75" hidden="false" customHeight="true" outlineLevel="0" collapsed="false">
      <c r="B1" s="43" t="s">
        <v>109</v>
      </c>
    </row>
    <row r="3" customFormat="false" ht="21.75" hidden="false" customHeight="true" outlineLevel="0" collapsed="false">
      <c r="B3" s="44" t="s">
        <v>110</v>
      </c>
    </row>
    <row r="4" customFormat="false" ht="72" hidden="false" customHeight="true" outlineLevel="0" collapsed="false">
      <c r="B4" s="45" t="s">
        <v>111</v>
      </c>
    </row>
    <row r="5" customFormat="false" ht="43.5" hidden="false" customHeight="true" outlineLevel="0" collapsed="false">
      <c r="B5" s="45" t="s">
        <v>112</v>
      </c>
    </row>
    <row r="6" customFormat="false" ht="21.75" hidden="false" customHeight="true" outlineLevel="0" collapsed="false">
      <c r="B6" s="44" t="s">
        <v>113</v>
      </c>
    </row>
    <row r="7" customFormat="false" ht="85.5" hidden="false" customHeight="true" outlineLevel="0" collapsed="false">
      <c r="B7" s="45" t="s">
        <v>114</v>
      </c>
    </row>
    <row r="8" customFormat="false" ht="21.75" hidden="false" customHeight="true" outlineLevel="0" collapsed="false">
      <c r="B8" s="44" t="s">
        <v>115</v>
      </c>
    </row>
    <row r="9" customFormat="false" ht="15" hidden="false" customHeight="true" outlineLevel="0" collapsed="false">
      <c r="B9" s="46" t="s">
        <v>116</v>
      </c>
    </row>
    <row r="10" customFormat="false" ht="15" hidden="false" customHeight="true" outlineLevel="0" collapsed="false">
      <c r="B10" s="46" t="s">
        <v>117</v>
      </c>
    </row>
    <row r="11" customFormat="false" ht="15" hidden="false" customHeight="true" outlineLevel="0" collapsed="false">
      <c r="B11" s="46" t="s">
        <v>118</v>
      </c>
    </row>
    <row r="12" customFormat="false" ht="15" hidden="false" customHeight="true" outlineLevel="0" collapsed="false">
      <c r="B12" s="46" t="s">
        <v>119</v>
      </c>
    </row>
    <row r="13" customFormat="false" ht="15" hidden="false" customHeight="true" outlineLevel="0" collapsed="false">
      <c r="B13" s="46" t="s">
        <v>120</v>
      </c>
    </row>
    <row r="14" customFormat="false" ht="15" hidden="false" customHeight="true" outlineLevel="0" collapsed="false">
      <c r="B14" s="46" t="s">
        <v>121</v>
      </c>
    </row>
    <row r="15" customFormat="false" ht="21.75" hidden="false" customHeight="true" outlineLevel="0" collapsed="false">
      <c r="B15" s="44" t="s">
        <v>122</v>
      </c>
    </row>
    <row r="16" customFormat="false" ht="57.75" hidden="false" customHeight="true" outlineLevel="0" collapsed="false">
      <c r="B16" s="45" t="s">
        <v>123</v>
      </c>
    </row>
    <row r="17" customFormat="false" ht="15" hidden="false" customHeight="true" outlineLevel="0" collapsed="false">
      <c r="B17" s="46" t="s">
        <v>124</v>
      </c>
    </row>
    <row r="18" customFormat="false" ht="15" hidden="false" customHeight="true" outlineLevel="0" collapsed="false">
      <c r="B18" s="46" t="s">
        <v>125</v>
      </c>
    </row>
    <row r="19" customFormat="false" ht="15" hidden="false" customHeight="true" outlineLevel="0" collapsed="false">
      <c r="B19" s="46" t="s">
        <v>126</v>
      </c>
    </row>
    <row r="20" customFormat="false" ht="15" hidden="false" customHeight="true" outlineLevel="0" collapsed="false">
      <c r="B20" s="46" t="s">
        <v>127</v>
      </c>
    </row>
    <row r="21" customFormat="false" ht="15" hidden="false" customHeight="true" outlineLevel="0" collapsed="false">
      <c r="B21" s="46" t="s">
        <v>128</v>
      </c>
    </row>
    <row r="22" customFormat="false" ht="15" hidden="false" customHeight="true" outlineLevel="0" collapsed="false">
      <c r="B22" s="46" t="s">
        <v>129</v>
      </c>
    </row>
    <row r="23" customFormat="false" ht="30" hidden="false" customHeight="true" outlineLevel="0" collapsed="false">
      <c r="B23" s="45" t="s">
        <v>130</v>
      </c>
    </row>
    <row r="24" customFormat="false" ht="21.75" hidden="false" customHeight="true" outlineLevel="0" collapsed="false">
      <c r="B24" s="44" t="s">
        <v>131</v>
      </c>
    </row>
    <row r="25" customFormat="false" ht="57.75" hidden="false" customHeight="true" outlineLevel="0" collapsed="false">
      <c r="B25" s="45" t="s">
        <v>132</v>
      </c>
    </row>
    <row r="26" customFormat="false" ht="21.75" hidden="false" customHeight="true" outlineLevel="0" collapsed="false">
      <c r="B26" s="44" t="s">
        <v>133</v>
      </c>
    </row>
    <row r="27" customFormat="false" ht="15.75" hidden="false" customHeight="true" outlineLevel="0" collapsed="false">
      <c r="B27" s="45" t="s">
        <v>134</v>
      </c>
    </row>
    <row r="28" customFormat="false" ht="21.75" hidden="false" customHeight="true" outlineLevel="0" collapsed="false">
      <c r="B28" s="44" t="s">
        <v>135</v>
      </c>
    </row>
    <row r="29" customFormat="false" ht="30" hidden="false" customHeight="true" outlineLevel="0" collapsed="false">
      <c r="B29" s="45" t="s">
        <v>136</v>
      </c>
    </row>
    <row r="30" customFormat="false" ht="15.75" hidden="false" customHeight="true" outlineLevel="0" collapsed="false">
      <c r="B30" s="45" t="s">
        <v>137</v>
      </c>
    </row>
    <row r="31" customFormat="false" ht="30" hidden="false" customHeight="true" outlineLevel="0" collapsed="false">
      <c r="B31" s="45" t="s">
        <v>138</v>
      </c>
    </row>
    <row r="32" customFormat="false" ht="30" hidden="false" customHeight="true" outlineLevel="0" collapsed="false">
      <c r="B32" s="45"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2026-06-18T23:46:34Z</dcterms:created>
  <dc:creator>openpyxl</dc:creator>
  <dc:description/>
  <dc:language>en-US</dc:language>
  <cp:lastModifiedBy/>
  <dcterms:modified xsi:type="dcterms:W3CDTF">2026-06-18T23:47:38Z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